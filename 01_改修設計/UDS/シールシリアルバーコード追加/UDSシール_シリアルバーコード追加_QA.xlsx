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heetId="1" state="visible" r:id="rId1"/>
    <sheet xmlns:r="http://schemas.openxmlformats.org/officeDocument/2006/relationships" name="参考_シリアル桁数" sheetId="2" state="visible" r:id="rId2"/>
  </sheets>
  <definedNames>
    <definedName name="_xlnm._FilterDatabase" localSheetId="0" hidden="1">'QA'!$A$5:$H$23</definedName>
    <definedName name="_xlnm.Print_Titles" localSheetId="0">'QA'!$5:$5</definedName>
  </definedNames>
  <calcPr calcId="124519" fullCalcOnLoad="1"/>
</workbook>
</file>

<file path=xl/styles.xml><?xml version="1.0" encoding="utf-8"?>
<styleSheet xmlns="http://schemas.openxmlformats.org/spreadsheetml/2006/main">
  <numFmts count="3">
    <numFmt numFmtId="164" formatCode="yyyy/mm/dd"/>
    <numFmt numFmtId="165" formatCode="0.0%"/>
    <numFmt numFmtId="166" formatCode="0&quot;mm&quot;"/>
  </numFmts>
  <fonts count="8">
    <font>
      <name val="Calibri"/>
      <family val="2"/>
      <color theme="1"/>
      <sz val="11"/>
      <scheme val="minor"/>
    </font>
    <font>
      <name val="Meiryo UI"/>
      <b val="1"/>
      <sz val="14"/>
    </font>
    <font>
      <name val="Meiryo UI"/>
      <sz val="10"/>
    </font>
    <font>
      <name val="Meiryo UI"/>
      <b val="1"/>
      <color rgb="00FFFFFF"/>
    </font>
    <font>
      <name val="Meiryo UI"/>
      <color rgb="00000000"/>
      <sz val="10"/>
    </font>
    <font>
      <name val="Meiryo UI"/>
      <color rgb="00808080"/>
      <sz val="10"/>
    </font>
    <font>
      <name val="Meiryo UI"/>
      <b val="1"/>
      <sz val="12"/>
    </font>
    <font>
      <name val="Meiryo UI"/>
      <b val="1"/>
      <sz val="10"/>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1" applyAlignment="1" pivotButton="0" quotePrefix="0" xfId="0">
      <alignment horizontal="center" vertical="top"/>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xf numFmtId="164" fontId="4" fillId="3" borderId="1" applyAlignment="1" pivotButton="0" quotePrefix="0" xfId="0">
      <alignment vertical="top" wrapText="1"/>
    </xf>
    <xf numFmtId="0" fontId="6" fillId="0" borderId="0" pivotButton="0" quotePrefix="0" xfId="0"/>
    <xf numFmtId="0" fontId="3" fillId="2" borderId="1" pivotButton="0" quotePrefix="0" xfId="0"/>
    <xf numFmtId="0" fontId="2" fillId="0" borderId="1" pivotButton="0" quotePrefix="0" xfId="0"/>
    <xf numFmtId="3" fontId="2" fillId="0" borderId="1" pivotButton="0" quotePrefix="0" xfId="0"/>
    <xf numFmtId="165" fontId="2" fillId="0" borderId="1" pivotButton="0" quotePrefix="0" xfId="0"/>
    <xf numFmtId="0" fontId="7" fillId="0" borderId="1" pivotButton="0" quotePrefix="0" xfId="0"/>
    <xf numFmtId="3" fontId="7" fillId="0" borderId="1" pivotButton="0" quotePrefix="0" xfId="0"/>
    <xf numFmtId="165" fontId="7" fillId="0" borderId="1" pivotButton="0" quotePrefix="0" xfId="0"/>
    <xf numFmtId="0" fontId="3" fillId="2" borderId="1" applyAlignment="1" pivotButton="0" quotePrefix="0" xfId="0">
      <alignment vertical="center" wrapText="1"/>
    </xf>
    <xf numFmtId="166"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3"/>
  <sheetViews>
    <sheetView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50" customWidth="1" min="3" max="3"/>
    <col width="50" customWidth="1" min="4" max="4"/>
    <col width="30" customWidth="1" min="5" max="5"/>
    <col width="45" customWidth="1" min="6" max="6"/>
    <col width="12" customWidth="1" min="7" max="7"/>
    <col width="12" customWidth="1" min="8" max="8"/>
  </cols>
  <sheetData>
    <row r="1">
      <c r="A1" s="1" t="inlineStr">
        <is>
          <t>UDSシール シリアルバーコード追加 確認事項（QA）</t>
        </is>
      </c>
    </row>
    <row r="2">
      <c r="A2" s="2" t="inlineStr">
        <is>
          <t>対応時期: Ace対応を優先しているため、着手は早くても年明け以降の見込みです。仕様を事前に固めるため、以下の質問にご回答をお願いします。</t>
        </is>
      </c>
    </row>
    <row r="3">
      <c r="A3" s="2" t="inlineStr">
        <is>
          <t>記入方法: 黄色の列（回答・回答者・回答日）にご記入ください。「記入例」列は回答のイメージです。不明な項目は「不明」と書いていただければ問題ありません。</t>
        </is>
      </c>
    </row>
    <row r="4"/>
    <row r="5">
      <c r="A5" s="3" t="inlineStr">
        <is>
          <t>No</t>
        </is>
      </c>
      <c r="B5" s="3" t="inlineStr">
        <is>
          <t>カテゴリ</t>
        </is>
      </c>
      <c r="C5" s="3" t="inlineStr">
        <is>
          <t>質問</t>
        </is>
      </c>
      <c r="D5" s="3" t="inlineStr">
        <is>
          <t>背景・補足</t>
        </is>
      </c>
      <c r="E5" s="3" t="inlineStr">
        <is>
          <t>記入例</t>
        </is>
      </c>
      <c r="F5" s="3" t="inlineStr">
        <is>
          <t>回答</t>
        </is>
      </c>
      <c r="G5" s="3" t="inlineStr">
        <is>
          <t>回答者</t>
        </is>
      </c>
      <c r="H5" s="3" t="inlineStr">
        <is>
          <t>回答日</t>
        </is>
      </c>
    </row>
    <row r="6">
      <c r="A6" s="4" t="n">
        <v>1</v>
      </c>
      <c r="B6" s="5" t="inlineStr">
        <is>
          <t>バーコード仕様</t>
        </is>
      </c>
      <c r="C6" s="5" t="inlineStr">
        <is>
          <t>バーコードの種類を「Code128」にしてよいでしょうか？
読み取りに使うハンディ／スキャナの機種と、Code128を読み取れるかを教えてください。</t>
        </is>
      </c>
      <c r="D6" s="5" t="inlineStr">
        <is>
          <t>写真の見本はCode39形式ですが、シリアルには小文字（例: zy32dj64lx）や記号（例: DS-ASTB1A-U(UDS)、GT133_PPT_0010）を含むものがあり、標準のCode39では表現できません。Code128はこれらに対応でき、同じ桁数でもバーコードの幅が短くなります。</t>
        </is>
      </c>
      <c r="E6" s="6" t="inlineStr">
        <is>
          <t>例）Code128で問題なし／スキャナ: ○○社 ××</t>
        </is>
      </c>
      <c r="F6" s="7" t="n"/>
      <c r="G6" s="7" t="n"/>
      <c r="H6" s="8" t="n"/>
    </row>
    <row r="7">
      <c r="A7" s="4" t="n">
        <v>2</v>
      </c>
      <c r="B7" s="5" t="inlineStr">
        <is>
          <t>バーコード仕様</t>
        </is>
      </c>
      <c r="C7" s="5" t="inlineStr">
        <is>
          <t>読み取ったシリアルは、どのシステム・どの作業で使いますか？</t>
        </is>
      </c>
      <c r="D7" s="5" t="inlineStr">
        <is>
          <t>用途によって、読み取りに必要な精度やバーコードに含める内容が変わるため確認させてください。</t>
        </is>
      </c>
      <c r="E7" s="6" t="inlineStr">
        <is>
          <t>例）出荷検品時にUDS画面へ入力／他システムへの入力 など</t>
        </is>
      </c>
      <c r="F7" s="7" t="n"/>
      <c r="G7" s="7" t="n"/>
      <c r="H7" s="8" t="n"/>
    </row>
    <row r="8">
      <c r="A8" s="4" t="n">
        <v>3</v>
      </c>
      <c r="B8" s="5" t="inlineStr">
        <is>
          <t>バーコード仕様</t>
        </is>
      </c>
      <c r="C8" s="5" t="inlineStr">
        <is>
          <t>「シリアル管理対象外」の品目は、バーコードなし（空欄）でよいですか？</t>
        </is>
      </c>
      <c r="D8" s="5" t="inlineStr">
        <is>
          <t>シリアル管理対象外の品目は、現在もシールに「シリアル管理対象外」と印字しています（シリアル値は NOSERIAL0000… 形式のダミー）。</t>
        </is>
      </c>
      <c r="E8" s="6" t="inlineStr">
        <is>
          <t>例）空欄でよい</t>
        </is>
      </c>
      <c r="F8" s="7" t="n"/>
      <c r="G8" s="7" t="n"/>
      <c r="H8" s="8" t="n"/>
    </row>
    <row r="9">
      <c r="A9" s="4" t="n">
        <v>4</v>
      </c>
      <c r="B9" s="5" t="inlineStr">
        <is>
          <t>バーコード仕様</t>
        </is>
      </c>
      <c r="C9" s="5" t="inlineStr">
        <is>
          <t>桁数の長いシリアル（17桁以上）もバーコード化が必要ですか？</t>
        </is>
      </c>
      <c r="D9" s="5" t="inlineStr">
        <is>
          <t>実際のシリアルは11〜16桁が中心ですが、17桁（UAC-01W/02W/02P系など）や24〜25桁のものもごく一部あります。桁数が多いほどバーコードの幅が広がり、枠に収まらなかったり、読み取りにくくなったりします。</t>
        </is>
      </c>
      <c r="E9" s="6" t="inlineStr">
        <is>
          <t>例）17桁まで必要。24桁以上は不要</t>
        </is>
      </c>
      <c r="F9" s="7" t="n"/>
      <c r="G9" s="7" t="n"/>
      <c r="H9" s="8" t="n"/>
    </row>
    <row r="10">
      <c r="A10" s="4" t="n">
        <v>5</v>
      </c>
      <c r="B10" s="5" t="inlineStr">
        <is>
          <t>バーコード仕様</t>
        </is>
      </c>
      <c r="C10" s="5" t="inlineStr">
        <is>
          <t>バーコードの下に、シリアルの文字も表示しますか？</t>
        </is>
      </c>
      <c r="D10" s="5" t="inlineStr">
        <is>
          <t>写真の見本では、バーコードの下にもシリアルの文字が印字されています。S/N欄と内容が重複するため、省略するとその分の行を減らせます。</t>
        </is>
      </c>
      <c r="E10" s="6" t="inlineStr">
        <is>
          <t>例）不要（S/N欄があるため）</t>
        </is>
      </c>
      <c r="F10" s="7" t="n"/>
      <c r="G10" s="7" t="n"/>
      <c r="H10" s="8" t="n"/>
    </row>
    <row r="11">
      <c r="A11" s="4" t="n">
        <v>6</v>
      </c>
      <c r="B11" s="5" t="inlineStr">
        <is>
          <t>レイアウト</t>
        </is>
      </c>
      <c r="C11" s="5" t="inlineStr">
        <is>
          <t>バーコードの配置は、次のどれがよいですか？
A: バーコードを1行に1つ、シールの幅いっぱいに配置
B: 1枚に1品目にする（シール枚数が倍になる）
C: 写真のように2つを横並び（長い桁の型番は対象外にする）</t>
        </is>
      </c>
      <c r="D11" s="5" t="inlineStr">
        <is>
          <t>シールの幅は約60mmです。2つを横並びにすると1つあたり約25〜28mmしか取れず、11桁程度でも読み取りがぎりぎりになる見込みです（目安：Code128で13桁の場合、安定して読める幅は約50mm）。</t>
        </is>
      </c>
      <c r="E11" s="6" t="inlineStr">
        <is>
          <t>例）A</t>
        </is>
      </c>
      <c r="F11" s="7" t="n"/>
      <c r="G11" s="7" t="n"/>
      <c r="H11" s="8" t="n"/>
    </row>
    <row r="12">
      <c r="A12" s="4" t="n">
        <v>7</v>
      </c>
      <c r="B12" s="5" t="inlineStr">
        <is>
          <t>レイアウト</t>
        </is>
      </c>
      <c r="C12" s="5" t="inlineStr">
        <is>
          <t>1枚に2品目を載せる今の構成は、維持したいですか？</t>
        </is>
      </c>
      <c r="D12" s="5" t="inlineStr">
        <is>
          <t>Q6でA・Cを選んだ場合、1枚2品目を維持できるかはシールのサイズによります。</t>
        </is>
      </c>
      <c r="E12" s="6" t="inlineStr">
        <is>
          <t>例）維持したい</t>
        </is>
      </c>
      <c r="F12" s="7" t="n"/>
      <c r="G12" s="7" t="n"/>
      <c r="H12" s="8" t="n"/>
    </row>
    <row r="13">
      <c r="A13" s="4" t="n">
        <v>8</v>
      </c>
      <c r="B13" s="5" t="inlineStr">
        <is>
          <t>レイアウト</t>
        </is>
      </c>
      <c r="C13" s="5" t="inlineStr">
        <is>
          <t>現在使っているシールのサイズ（縦×横mm）と、シール用紙の品番を教えてください。
また「シールサイズが小さい対象」とは、別サイズのシールを使っている場合があるという意味ですか？</t>
        </is>
      </c>
      <c r="D13" s="5" t="inlineStr">
        <is>
          <t>バーコードの幅や文字サイズを決める前提になるため、必ず教えてください。</t>
        </is>
      </c>
      <c r="E13" s="6" t="inlineStr">
        <is>
          <t>例）縦30mm×横62mm、品番○○。小さいシールは使っていない</t>
        </is>
      </c>
      <c r="F13" s="7" t="n"/>
      <c r="G13" s="7" t="n"/>
      <c r="H13" s="8" t="n"/>
    </row>
    <row r="14">
      <c r="A14" s="4" t="n">
        <v>9</v>
      </c>
      <c r="B14" s="5" t="inlineStr">
        <is>
          <t>レイアウト</t>
        </is>
      </c>
      <c r="C14" s="5" t="inlineStr">
        <is>
          <t>シールの印刷に使っているプリンタの機種を教えてください。</t>
        </is>
      </c>
      <c r="D14" s="5" t="inlineStr">
        <is>
          <t>プリンタの解像度（203dpi／300dpiなど）によって、読み取れるバーコードの細さが変わります。</t>
        </is>
      </c>
      <c r="E14" s="6" t="inlineStr">
        <is>
          <t>例）○○社 ××（300dpi）</t>
        </is>
      </c>
      <c r="F14" s="7" t="n"/>
      <c r="G14" s="7" t="n"/>
      <c r="H14" s="8" t="n"/>
    </row>
    <row r="15">
      <c r="A15" s="4" t="n">
        <v>10</v>
      </c>
      <c r="B15" s="5" t="inlineStr">
        <is>
          <t>レイアウト</t>
        </is>
      </c>
      <c r="C15" s="5" t="inlineStr">
        <is>
          <t>文字を大きくする際、特に見やすくしたい項目はありますか？</t>
        </is>
      </c>
      <c r="D15" s="5" t="inlineStr">
        <is>
          <t>現在は全項目6ptで印字しています。枠いっぱいまで大きくする前提ですが、優先する項目があればその項目を大きめにします。</t>
        </is>
      </c>
      <c r="E15" s="6" t="inlineStr">
        <is>
          <t>例）顧客CD・シリアルを優先</t>
        </is>
      </c>
      <c r="F15" s="7" t="n"/>
      <c r="G15" s="7" t="n"/>
      <c r="H15" s="8" t="n"/>
    </row>
    <row r="16">
      <c r="A16" s="4" t="n">
        <v>11</v>
      </c>
      <c r="B16" s="5" t="inlineStr">
        <is>
          <t>レイアウト</t>
        </is>
      </c>
      <c r="C16" s="5" t="inlineStr">
        <is>
          <t>設置先名が長い場合は、次のどちらがよいですか？
・文字を縮小して全体を表示
・途中で切る</t>
        </is>
      </c>
      <c r="D16" s="5" t="inlineStr">
        <is>
          <t>設置先名は最大44文字です。</t>
        </is>
      </c>
      <c r="E16" s="6" t="inlineStr">
        <is>
          <t>例）縮小して全体を表示</t>
        </is>
      </c>
      <c r="F16" s="7" t="n"/>
      <c r="G16" s="7" t="n"/>
      <c r="H16" s="8" t="n"/>
    </row>
    <row r="17">
      <c r="A17" s="4" t="n">
        <v>12</v>
      </c>
      <c r="B17" s="5" t="inlineStr">
        <is>
          <t>バーコード有無の設定</t>
        </is>
      </c>
      <c r="C17" s="5" t="inlineStr">
        <is>
          <t>バーコードを印字する対象のセット名を教えてください（現時点の一覧）。</t>
        </is>
      </c>
      <c r="D17" s="5" t="inlineStr"/>
      <c r="E17" s="6" t="inlineStr">
        <is>
          <t>例）○○セット、△△セット</t>
        </is>
      </c>
      <c r="F17" s="7" t="n"/>
      <c r="G17" s="7" t="n"/>
      <c r="H17" s="8" t="n"/>
    </row>
    <row r="18">
      <c r="A18" s="4" t="n">
        <v>13</v>
      </c>
      <c r="B18" s="5" t="inlineStr">
        <is>
          <t>バーコード有無の設定</t>
        </is>
      </c>
      <c r="C18" s="5" t="inlineStr">
        <is>
          <t>対象のセットは今後増減しますか？増減する場合、どなたが設定する想定ですか？</t>
        </is>
      </c>
      <c r="D18" s="5" t="inlineStr">
        <is>
          <t>画面から設定できるようにするか、システム担当への依頼で設定を変更する形にするかで、改修の規模が変わります。</t>
        </is>
      </c>
      <c r="E18" s="6" t="inlineStr">
        <is>
          <t>例）年数回増える。システム担当への依頼でよい</t>
        </is>
      </c>
      <c r="F18" s="7" t="n"/>
      <c r="G18" s="7" t="n"/>
      <c r="H18" s="8" t="n"/>
    </row>
    <row r="19">
      <c r="A19" s="4" t="n">
        <v>14</v>
      </c>
      <c r="B19" s="5" t="inlineStr">
        <is>
          <t>バーコード有無の設定</t>
        </is>
      </c>
      <c r="C19" s="5" t="inlineStr">
        <is>
          <t>バーコード有無の判定は「セット単位」でよいですか？
「型番（品目）単位」のほうが都合がよいですか？</t>
        </is>
      </c>
      <c r="D19" s="5" t="inlineStr">
        <is>
          <t>同じセット内で、シリアルのある品目とない品目が混在するケースがあれば、型番単位のほうが適している場合があります。</t>
        </is>
      </c>
      <c r="E19" s="6" t="inlineStr">
        <is>
          <t>例）セット単位でよい</t>
        </is>
      </c>
      <c r="F19" s="7" t="n"/>
      <c r="G19" s="7" t="n"/>
      <c r="H19" s="8" t="n"/>
    </row>
    <row r="20">
      <c r="A20" s="4" t="n">
        <v>15</v>
      </c>
      <c r="B20" s="5" t="inlineStr">
        <is>
          <t>バーコード有無の設定</t>
        </is>
      </c>
      <c r="C20" s="5" t="inlineStr">
        <is>
          <t>バーコードなしのセットのシールは、次の形にしたいと考えています。この形でよいですか？
・レイアウト（枠・文字サイズ）は、バーコードありのセットと同じ新しいレイアウトにする
・バーコード欄は空欄のまま残す</t>
        </is>
      </c>
      <c r="D20" s="5" t="inlineStr">
        <is>
          <t>シールの形を1種類にまとめることで、改修や確認をシンプルにし、不具合のリスクを抑えるためです。文字サイズの拡大は、バーコードなしのセットにも反映されます。
なお、バーコード欄の分だけ文字を大きくできる余地は少し減ります。バーコードありのセットに含まれる「シリアル管理対象外」の品目も、同じくバーコード欄が空欄になります。</t>
        </is>
      </c>
      <c r="E20" s="6" t="inlineStr">
        <is>
          <t>例）この形でよい／バーコード欄の行は詰めてほしい</t>
        </is>
      </c>
      <c r="F20" s="7" t="n"/>
      <c r="G20" s="7" t="n"/>
      <c r="H20" s="8" t="n"/>
    </row>
    <row r="21">
      <c r="A21" s="4" t="n">
        <v>16</v>
      </c>
      <c r="B21" s="5" t="inlineStr">
        <is>
          <t>その他</t>
        </is>
      </c>
      <c r="C21" s="5" t="inlineStr">
        <is>
          <t>シールを出力しているのは、どの拠点（センター）ですか？</t>
        </is>
      </c>
      <c r="D21" s="5" t="inlineStr">
        <is>
          <t>対象拠点の運用やプリンタ環境を確認するために伺います。</t>
        </is>
      </c>
      <c r="E21" s="6" t="inlineStr">
        <is>
          <t>例）東日本センターのみ</t>
        </is>
      </c>
      <c r="F21" s="7" t="n"/>
      <c r="G21" s="7" t="n"/>
      <c r="H21" s="8" t="n"/>
    </row>
    <row r="22">
      <c r="A22" s="4" t="n">
        <v>17</v>
      </c>
      <c r="B22" s="5" t="inlineStr">
        <is>
          <t>その他</t>
        </is>
      </c>
      <c r="C22" s="5" t="inlineStr">
        <is>
          <t>改修後、本番に反映する前に、テスト環境で印刷したシールを現場のスキャナで読み取るテストをしていただくことは可能ですか？</t>
        </is>
      </c>
      <c r="D22" s="5" t="inlineStr">
        <is>
          <t>バーコードはプリンタやスキャナとの相性があるため、実機での確認をお願いしたいです。</t>
        </is>
      </c>
      <c r="E22" s="6" t="inlineStr">
        <is>
          <t>例）可能。担当: ○○</t>
        </is>
      </c>
      <c r="F22" s="7" t="n"/>
      <c r="G22" s="7" t="n"/>
      <c r="H22" s="8" t="n"/>
    </row>
    <row r="23">
      <c r="A23" s="4" t="n">
        <v>18</v>
      </c>
      <c r="B23" s="5" t="inlineStr">
        <is>
          <t>その他</t>
        </is>
      </c>
      <c r="C23" s="5" t="inlineStr">
        <is>
          <t>希望の時期と、切り替えを避けたい時期（繁忙期など）があれば教えてください。</t>
        </is>
      </c>
      <c r="D23" s="5" t="inlineStr">
        <is>
          <t>Ace対応が完了してからの着手になるため、早くても年明け以降の対応になります。</t>
        </is>
      </c>
      <c r="E23" s="6" t="inlineStr">
        <is>
          <t>例）2月以降ならいつでも可。3月末は避けたい</t>
        </is>
      </c>
      <c r="F23" s="7" t="n"/>
      <c r="G23" s="7" t="n"/>
      <c r="H23" s="8" t="n"/>
    </row>
  </sheetData>
  <autoFilter ref="A5:H23"/>
  <mergeCells count="2">
    <mergeCell ref="A3:H3"/>
    <mergeCell ref="A2:H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0" customWidth="1" min="1" max="1"/>
    <col width="26" customWidth="1" min="2" max="2"/>
    <col width="26" customWidth="1" min="3" max="3"/>
    <col width="26" customWidth="1" min="4" max="4"/>
  </cols>
  <sheetData>
    <row r="1">
      <c r="A1" s="9" t="inlineStr">
        <is>
          <t>参考: 現在登録されているシリアルの桁数分布（UDS serials.serial_cd、2026/10/13時点）</t>
        </is>
      </c>
    </row>
    <row r="2">
      <c r="A2" s="2" t="inlineStr">
        <is>
          <t>※ 19桁の大半はシリアル管理対象外のダミー値（NOSERIAL0000…）。1〜7桁にはテストデータを含みます。</t>
        </is>
      </c>
    </row>
    <row r="4">
      <c r="A4" s="10" t="inlineStr">
        <is>
          <t>桁数</t>
        </is>
      </c>
      <c r="B4" s="10" t="inlineStr">
        <is>
          <t>件数</t>
        </is>
      </c>
      <c r="C4" s="10" t="inlineStr">
        <is>
          <t>構成比</t>
        </is>
      </c>
    </row>
    <row r="5">
      <c r="A5" s="11" t="n">
        <v>1</v>
      </c>
      <c r="B5" s="12" t="n">
        <v>1</v>
      </c>
      <c r="C5" s="13">
        <f>B5/$B$25</f>
        <v/>
      </c>
    </row>
    <row r="6">
      <c r="A6" s="11" t="n">
        <v>3</v>
      </c>
      <c r="B6" s="12" t="n">
        <v>5</v>
      </c>
      <c r="C6" s="13">
        <f>B6/$B$25</f>
        <v/>
      </c>
    </row>
    <row r="7">
      <c r="A7" s="11" t="n">
        <v>4</v>
      </c>
      <c r="B7" s="12" t="n">
        <v>6</v>
      </c>
      <c r="C7" s="13">
        <f>B7/$B$25</f>
        <v/>
      </c>
    </row>
    <row r="8">
      <c r="A8" s="11" t="n">
        <v>5</v>
      </c>
      <c r="B8" s="12" t="n">
        <v>583</v>
      </c>
      <c r="C8" s="13">
        <f>B8/$B$25</f>
        <v/>
      </c>
    </row>
    <row r="9">
      <c r="A9" s="11" t="n">
        <v>6</v>
      </c>
      <c r="B9" s="12" t="n">
        <v>8</v>
      </c>
      <c r="C9" s="13">
        <f>B9/$B$25</f>
        <v/>
      </c>
    </row>
    <row r="10">
      <c r="A10" s="11" t="n">
        <v>7</v>
      </c>
      <c r="B10" s="12" t="n">
        <v>6</v>
      </c>
      <c r="C10" s="13">
        <f>B10/$B$25</f>
        <v/>
      </c>
    </row>
    <row r="11">
      <c r="A11" s="11" t="n">
        <v>8</v>
      </c>
      <c r="B11" s="12" t="n">
        <v>234320</v>
      </c>
      <c r="C11" s="13">
        <f>B11/$B$25</f>
        <v/>
      </c>
    </row>
    <row r="12">
      <c r="A12" s="11" t="n">
        <v>9</v>
      </c>
      <c r="B12" s="12" t="n">
        <v>826</v>
      </c>
      <c r="C12" s="13">
        <f>B12/$B$25</f>
        <v/>
      </c>
    </row>
    <row r="13">
      <c r="A13" s="11" t="n">
        <v>10</v>
      </c>
      <c r="B13" s="12" t="n">
        <v>84490</v>
      </c>
      <c r="C13" s="13">
        <f>B13/$B$25</f>
        <v/>
      </c>
    </row>
    <row r="14">
      <c r="A14" s="11" t="n">
        <v>11</v>
      </c>
      <c r="B14" s="12" t="n">
        <v>276916</v>
      </c>
      <c r="C14" s="13">
        <f>B14/$B$25</f>
        <v/>
      </c>
    </row>
    <row r="15">
      <c r="A15" s="11" t="n">
        <v>12</v>
      </c>
      <c r="B15" s="12" t="n">
        <v>39189</v>
      </c>
      <c r="C15" s="13">
        <f>B15/$B$25</f>
        <v/>
      </c>
    </row>
    <row r="16">
      <c r="A16" s="11" t="n">
        <v>13</v>
      </c>
      <c r="B16" s="12" t="n">
        <v>65532</v>
      </c>
      <c r="C16" s="13">
        <f>B16/$B$25</f>
        <v/>
      </c>
    </row>
    <row r="17">
      <c r="A17" s="11" t="n">
        <v>14</v>
      </c>
      <c r="B17" s="12" t="n">
        <v>10229</v>
      </c>
      <c r="C17" s="13">
        <f>B17/$B$25</f>
        <v/>
      </c>
    </row>
    <row r="18">
      <c r="A18" s="11" t="n">
        <v>15</v>
      </c>
      <c r="B18" s="12" t="n">
        <v>375</v>
      </c>
      <c r="C18" s="13">
        <f>B18/$B$25</f>
        <v/>
      </c>
    </row>
    <row r="19">
      <c r="A19" s="11" t="n">
        <v>16</v>
      </c>
      <c r="B19" s="12" t="n">
        <v>369</v>
      </c>
      <c r="C19" s="13">
        <f>B19/$B$25</f>
        <v/>
      </c>
    </row>
    <row r="20">
      <c r="A20" s="11" t="n">
        <v>17</v>
      </c>
      <c r="B20" s="12" t="n">
        <v>46946</v>
      </c>
      <c r="C20" s="13">
        <f>B20/$B$25</f>
        <v/>
      </c>
    </row>
    <row r="21">
      <c r="A21" s="11" t="n">
        <v>18</v>
      </c>
      <c r="B21" s="12" t="n">
        <v>158</v>
      </c>
      <c r="C21" s="13">
        <f>B21/$B$25</f>
        <v/>
      </c>
    </row>
    <row r="22">
      <c r="A22" s="11" t="n">
        <v>19</v>
      </c>
      <c r="B22" s="12" t="n">
        <v>206750</v>
      </c>
      <c r="C22" s="13">
        <f>B22/$B$25</f>
        <v/>
      </c>
    </row>
    <row r="23">
      <c r="A23" s="11" t="n">
        <v>24</v>
      </c>
      <c r="B23" s="12" t="n">
        <v>2</v>
      </c>
      <c r="C23" s="13">
        <f>B23/$B$25</f>
        <v/>
      </c>
    </row>
    <row r="24">
      <c r="A24" s="11" t="n">
        <v>25</v>
      </c>
      <c r="B24" s="12" t="n">
        <v>19</v>
      </c>
      <c r="C24" s="13">
        <f>B24/$B$25</f>
        <v/>
      </c>
    </row>
    <row r="25">
      <c r="A25" s="14" t="inlineStr">
        <is>
          <t>合計</t>
        </is>
      </c>
      <c r="B25" s="15">
        <f>SUM(B5:B24)</f>
        <v/>
      </c>
      <c r="C25" s="16">
        <f>SUM(C5:C24)</f>
        <v/>
      </c>
    </row>
    <row r="27">
      <c r="A27" s="9" t="inlineStr">
        <is>
          <t>Code128の場合のバーコード幅の目安（前後の余白込み）</t>
        </is>
      </c>
    </row>
    <row r="28">
      <c r="A28" s="2" t="inlineStr">
        <is>
          <t>※ 幅(mm) = (11×桁数 + 55) × 細いバー1本の幅。55 = 開始・チェック・終了の各記号 + 前後の余白</t>
        </is>
      </c>
    </row>
    <row r="29" ht="32" customHeight="1">
      <c r="A29" s="17" t="inlineStr">
        <is>
          <t>桁数</t>
        </is>
      </c>
      <c r="B29" s="17" t="inlineStr">
        <is>
          <t>0.25mm（203dpiで2ドット、安定して読める）</t>
        </is>
      </c>
      <c r="C29" s="17" t="inlineStr">
        <is>
          <t>0.19mm</t>
        </is>
      </c>
      <c r="D29" s="17" t="inlineStr">
        <is>
          <t>0.125mm（203dpiで1ドット、読み取りは厳しい）</t>
        </is>
      </c>
    </row>
    <row r="30">
      <c r="A30" s="11" t="n">
        <v>11</v>
      </c>
      <c r="B30" s="18">
        <f>(11*$A30+55)*0.25</f>
        <v/>
      </c>
      <c r="C30" s="18">
        <f>(11*$A30+55)*0.19</f>
        <v/>
      </c>
      <c r="D30" s="18">
        <f>(11*$A30+55)*0.125</f>
        <v/>
      </c>
    </row>
    <row r="31">
      <c r="A31" s="11" t="n">
        <v>13</v>
      </c>
      <c r="B31" s="18">
        <f>(11*$A31+55)*0.25</f>
        <v/>
      </c>
      <c r="C31" s="18">
        <f>(11*$A31+55)*0.19</f>
        <v/>
      </c>
      <c r="D31" s="18">
        <f>(11*$A31+55)*0.125</f>
        <v/>
      </c>
    </row>
    <row r="32">
      <c r="A32" s="11" t="n">
        <v>16</v>
      </c>
      <c r="B32" s="18">
        <f>(11*$A32+55)*0.25</f>
        <v/>
      </c>
      <c r="C32" s="18">
        <f>(11*$A32+55)*0.19</f>
        <v/>
      </c>
      <c r="D32" s="18">
        <f>(11*$A32+55)*0.125</f>
        <v/>
      </c>
    </row>
    <row r="33">
      <c r="A33" s="11" t="n">
        <v>17</v>
      </c>
      <c r="B33" s="18">
        <f>(11*$A33+55)*0.25</f>
        <v/>
      </c>
      <c r="C33" s="18">
        <f>(11*$A33+55)*0.19</f>
        <v/>
      </c>
      <c r="D33" s="18">
        <f>(11*$A33+55)*0.125</f>
        <v/>
      </c>
    </row>
    <row r="34">
      <c r="A34" s="11" t="n">
        <v>25</v>
      </c>
      <c r="B34" s="18">
        <f>(11*$A34+55)*0.25</f>
        <v/>
      </c>
      <c r="C34" s="18">
        <f>(11*$A34+55)*0.19</f>
        <v/>
      </c>
      <c r="D34" s="18">
        <f>(11*$A34+55)*0.125</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2026-10-13T01:53:31Z</dcterms:created>
  <dcterms:modified xmlns:dcterms="http://purl.org/dc/terms/" xmlns:xsi="http://www.w3.org/2001/XMLSchema-instance" xsi:type="dcterms:W3CDTF">2026-10-13T02:46:33Z</dcterms:modified>
</cp:coreProperties>
</file>